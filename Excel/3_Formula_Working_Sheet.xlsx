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wshin\Downloads\"/>
    </mc:Choice>
  </mc:AlternateContent>
  <xr:revisionPtr revIDLastSave="0" documentId="13_ncr:1_{DA74B1F8-657C-413E-A370-0A9BA2E906DC}" xr6:coauthVersionLast="47" xr6:coauthVersionMax="47" xr10:uidLastSave="{00000000-0000-0000-0000-000000000000}"/>
  <bookViews>
    <workbookView xWindow="14052" yWindow="0" windowWidth="9084" windowHeight="12336" firstSheet="1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K2" i="5"/>
  <c r="L2" i="5"/>
  <c r="J3" i="5"/>
  <c r="J4" i="5"/>
  <c r="J5" i="5"/>
  <c r="J6" i="5"/>
  <c r="J7" i="5"/>
  <c r="J8" i="5"/>
  <c r="J9" i="5"/>
  <c r="J10" i="5"/>
  <c r="J2" i="5"/>
  <c r="L3" i="12"/>
  <c r="L2" i="12"/>
  <c r="K2" i="12"/>
  <c r="J3" i="12"/>
  <c r="J4" i="12"/>
  <c r="J5" i="12"/>
  <c r="J6" i="12"/>
  <c r="J7" i="12"/>
  <c r="J8" i="12"/>
  <c r="J9" i="12"/>
  <c r="J10" i="12"/>
  <c r="J2" i="12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M2" i="3" a="1"/>
  <c r="M2" i="3" s="1"/>
  <c r="L2" i="3" a="1"/>
  <c r="L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<sst xmlns="http://schemas.openxmlformats.org/spreadsheetml/2006/main" count="584" uniqueCount="91">
  <si>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</si>
  <si>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</si>
  <si>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</si>
  <si>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</si>
  <si>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</si>
  <si>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</si>
  <si>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</si>
  <si>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</si>
  <si>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</si>
  <si>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</si>
  <si>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</si>
  <si>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</si>
  <si>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</si>
  <si>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</si>
  <si>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</si>
  <si>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</si>
  <si>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</si>
  <si>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</si>
  <si>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</si>
  <si>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</si>
  <si>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</si>
  <si>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</si>
  <si>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</si>
  <si>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</si>
  <si>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</si>
  <si>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</si>
  <si>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</si>
  <si>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</si>
  <si>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</si>
  <si>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</si>
  <si>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</si>
  <si>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</si>
  <si>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</si>
  <si>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</si>
  <si>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</si>
  <si>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</si>
  <si>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</si>
  <si>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</si>
  <si>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</si>
  <si>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</si>
  <si>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</si>
  <si>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</si>
  <si>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</si>
  <si>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</si>
  <si>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</si>
  <si>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</si>
  <si>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</si>
  <si>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</si>
  <si>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</si>
  <si>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</si>
  <si>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</si>
  <si>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</si>
  <si>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</si>
  <si>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</si>
  <si>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</si>
  <si>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</si>
  <si>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</si>
  <si>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</si>
  <si>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</si>
  <si>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</si>
  <si>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</si>
  <si>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</si>
  <si>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</si>
  <si>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</si>
  <si>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</si>
  <si>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</si>
  <si>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</si>
  <si>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</si>
  <si>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</si>
  <si>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</si>
  <si>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</si>
  <si>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</si>
  <si>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</si>
  <si>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</si>
  <si>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</si>
  <si>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</si>
  <si>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</si>
  <si>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</si>
  <si>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</si>
  <si>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</si>
  <si>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</si>
  <si>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</si>
  <si>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</si>
  <si>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</si>
  <si>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</si>
  <si>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</si>
  <si>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</si>
  <si>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</si>
  <si>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3/4/2026</t>
  </si>
  <si>
    <t>1-5-2000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</si>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</sst>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E1"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 xml:space="preserve"> MAX(H2:H10)</f>
        <v>37933</v>
      </c>
      <c r="K2" s="1">
        <f xml:space="preserve"> 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xml:space="preserve"> MAX(G2:G10)</f>
        <v>65000</v>
      </c>
      <c r="K3">
        <f xml:space="preserve"> 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F1" workbookViewId="0">
      <selection activeCell="L7" sqref="L7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 xml:space="preserve"> IF(D2:D10 &gt; 30,"Old","Young")</f>
        <v>Young</v>
      </c>
      <c r="K2" t="str" cm="1">
        <f t="array" ref="K2:K10" xml:space="preserve"> _xlfn.IFS(F2:F10 = "Salesman", "Sales",F2:F10 = "HR", "Fire Immediately", F2:F10 = "Regional Manager", "Give Chrismas Bonus")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Chrismas Bonus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E1" workbookViewId="0">
      <selection activeCell="K8" sqref="K8"/>
    </sheetView>
  </sheetViews>
  <sheetFormatPr defaultColWidth="10.88671875" defaultRowHeight="14.4" x14ac:dyDescent="0.3"/>
  <cols>
    <col min="1" max="1" width="10.5546875" customWidth="1"/>
    <col min="2" max="2" width="11.109375" customWidth="1"/>
    <col min="3" max="3" width="13" customWidth="1"/>
    <col min="4" max="4" width="8.109375" customWidth="1"/>
    <col min="5" max="5" width="15.332031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 xml:space="preserve"> 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I1" workbookViewId="0">
      <selection activeCell="L20" sqref="L20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 xml:space="preserve"> LEFT(B2:B10,3)</f>
        <v>Jim</v>
      </c>
      <c r="L2" t="str" cm="1">
        <f t="array" ref="L2:L10" xml:space="preserve"> RIGHT(A2:A10, 1)</f>
        <v>1</v>
      </c>
      <c r="M2" t="str" cm="1">
        <f t="array" ref="M2:M10" xml:space="preserve"> 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5"/>
  <sheetViews>
    <sheetView topLeftCell="G1" workbookViewId="0">
      <selection activeCell="M3" sqref="M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 xml:space="preserve"> TEXT(H2:H10,"dd/mm/yyyy")</f>
        <v>02/11/2001</v>
      </c>
      <c r="L2" t="str" cm="1">
        <f t="array" ref="L2:L10" xml:space="preserve"> TEXT(J2:J10,"dd/mm/yyyy")</f>
        <v>11/02/2001</v>
      </c>
      <c r="M2" t="str" cm="1">
        <f t="array" ref="M2:M10" xml:space="preserve"> RIGHT(_xlfn.ANCHORARRAY(L2),4)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L3" t="str">
        <v>10/03/1999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L4" t="str">
        <v>07/04/2000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L5" t="str">
        <v>01/05/2000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L6" t="str">
        <v>05/06/2001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L7" t="str">
        <v>12/07/1995</v>
      </c>
      <c r="M7" t="str"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L8" t="str">
        <v>11/08/2003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L9" t="str">
        <v>06/09/2002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L10" t="str">
        <v>08/10/2003</v>
      </c>
      <c r="M10" t="str">
        <v>2003</v>
      </c>
    </row>
    <row r="12" spans="1:13" x14ac:dyDescent="0.3">
      <c r="H12" s="1"/>
    </row>
    <row r="13" spans="1:13" x14ac:dyDescent="0.3">
      <c r="H13" s="2"/>
    </row>
    <row r="14" spans="1:13" x14ac:dyDescent="0.3">
      <c r="H14" s="1">
        <v>46085</v>
      </c>
    </row>
    <row r="15" spans="1:13" x14ac:dyDescent="0.3">
      <c r="H15" s="2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F1" workbookViewId="0">
      <selection activeCell="K6" sqref="K6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 xml:space="preserve"> 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H1" workbookViewId="0">
      <selection activeCell="I13" sqref="I1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 xml:space="preserve"> SUBSTITUTE(H2:H10,"/","-",1)</f>
        <v>11-2/2001</v>
      </c>
      <c r="K2" t="str" cm="1">
        <f t="array" ref="K2:K10" xml:space="preserve"> SUBSTITUTE(H2:H10,"/","-",2)</f>
        <v>11/2-2001</v>
      </c>
      <c r="L2" t="str" cm="1">
        <f t="array" ref="L2:L10" xml:space="preserve"> 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89</v>
      </c>
      <c r="I5" s="2" t="s">
        <v>90</v>
      </c>
      <c r="J5" t="str">
        <v>1-5-2000</v>
      </c>
      <c r="K5" t="str">
        <v>1-5-2000</v>
      </c>
      <c r="L5" t="str"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H1" workbookViewId="0">
      <selection activeCell="L8" sqref="L8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 xml:space="preserve"> SUM(G2:G10)</f>
        <v>437000</v>
      </c>
      <c r="K2">
        <f>SUMIF(G2:G10,"&gt;50000")</f>
        <v>128000</v>
      </c>
      <c r="L2">
        <f>SUMIFS(G2:G10, E2:E10,"Female", 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 xml:space="preserve"> SUM(G3:G11)</f>
        <v>392000</v>
      </c>
      <c r="L3">
        <f xml:space="preserve"> SUMIFS(G2:G10, F2:F10,"Accountant", D2:D10,"&gt;30")</f>
        <v>89000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356000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293000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246000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196000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131000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90000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42000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H1" workbookViewId="0">
      <selection activeCell="M5" sqref="M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 xml:space="preserve"> COUNT(G2:G10)</f>
        <v>9</v>
      </c>
      <c r="K2">
        <f xml:space="preserve"> COUNTIF(G2:G10,"&gt;45000")</f>
        <v>5</v>
      </c>
      <c r="L2">
        <f>COUNTIFS(A2:A10, "&gt;1005", 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 xml:space="preserve"> COUNT(G3:G11)</f>
        <v>8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4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F1" workbookViewId="0">
      <selection activeCell="K12" sqref="K12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 xml:space="preserve"> CONCATENATE(B2:B10, " ", C2:C10)</f>
        <v>Jim Halpert</v>
      </c>
      <c r="K2" t="str" cm="1">
        <f t="array" ref="K2:K10" xml:space="preserve"> CONCATENATE(B2:B10,".",C2:C10, 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Kevin.Malone@gmail.com</v>
      </c>
    </row>
    <row r="11" spans="1:11" x14ac:dyDescent="0.3">
      <c r="H11" t="str">
        <f t="shared" ref="H11:H12" si="0">CONCATENATE(B11," ",C11)</f>
        <v xml:space="preserve"> </v>
      </c>
    </row>
    <row r="12" spans="1:11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E1" workbookViewId="0">
      <selection activeCell="J12" sqref="J1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 xml:space="preserve"> _xlfn.DAYS(I2,H2)</f>
        <v>5056</v>
      </c>
      <c r="K2" s="3">
        <f xml:space="preserve"> 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 xml:space="preserve"> _xlfn.DAYS(I3,H3)</f>
        <v>5851</v>
      </c>
      <c r="K3" s="3">
        <f t="shared" ref="K3:K10" si="1" xml:space="preserve"> NETWORKDAYS(H3,I3)</f>
        <v>4180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 s="3">
        <f t="shared" si="1"/>
        <v>4484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 s="3">
        <f t="shared" si="1"/>
        <v>4152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 s="3">
        <f t="shared" si="1"/>
        <v>4258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 s="3">
        <f t="shared" si="1"/>
        <v>3223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 s="3">
        <f t="shared" si="1"/>
        <v>2568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 s="3">
        <f t="shared" si="1"/>
        <v>3358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 s="3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Syeda Nowshin Ibnat</cp:lastModifiedBy>
  <dcterms:created xsi:type="dcterms:W3CDTF">2021-12-16T14:18:34Z</dcterms:created>
  <dcterms:modified xsi:type="dcterms:W3CDTF">2026-06-23T14:04:47Z</dcterms:modified>
</cp:coreProperties>
</file>